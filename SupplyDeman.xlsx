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automationcomvn-my.sharepoint.com/personal/phuc_sunautomation_com_vn/Documents/03Book/Economic/"/>
    </mc:Choice>
  </mc:AlternateContent>
  <xr:revisionPtr revIDLastSave="21" documentId="8_{780F6E40-293B-4B6D-8926-05FDB68C48F2}" xr6:coauthVersionLast="47" xr6:coauthVersionMax="47" xr10:uidLastSave="{E9F0C693-355D-4E1B-B853-B3003169CF5F}"/>
  <bookViews>
    <workbookView xWindow="-108" yWindow="-108" windowWidth="23256" windowHeight="12720" xr2:uid="{353AC19A-E209-40AF-97E5-D019BCEE2E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C3" i="1"/>
  <c r="O4" i="1"/>
  <c r="Q3" i="1" s="1"/>
  <c r="N11" i="1" s="1"/>
  <c r="O11" i="1" s="1"/>
  <c r="F3" i="1"/>
  <c r="B3" i="1"/>
  <c r="L3" i="1"/>
  <c r="H3" i="1"/>
  <c r="A11" i="1" s="1"/>
  <c r="B11" i="1" s="1"/>
  <c r="S11" i="1" l="1"/>
  <c r="C11" i="1"/>
  <c r="O3" i="1"/>
  <c r="N10" i="1"/>
  <c r="O10" i="1" s="1"/>
  <c r="N16" i="1"/>
  <c r="O16" i="1" s="1"/>
  <c r="N9" i="1"/>
  <c r="O9" i="1" s="1"/>
  <c r="J12" i="1"/>
  <c r="K12" i="1" s="1"/>
  <c r="N8" i="1"/>
  <c r="O8" i="1" s="1"/>
  <c r="J7" i="1"/>
  <c r="K7" i="1" s="1"/>
  <c r="J11" i="1"/>
  <c r="K11" i="1" s="1"/>
  <c r="N14" i="1"/>
  <c r="O14" i="1" s="1"/>
  <c r="N17" i="1"/>
  <c r="O17" i="1" s="1"/>
  <c r="J13" i="1"/>
  <c r="K13" i="1" s="1"/>
  <c r="J17" i="1"/>
  <c r="K17" i="1" s="1"/>
  <c r="J10" i="1"/>
  <c r="K10" i="1" s="1"/>
  <c r="N13" i="1"/>
  <c r="O13" i="1" s="1"/>
  <c r="J14" i="1"/>
  <c r="K14" i="1" s="1"/>
  <c r="N15" i="1"/>
  <c r="O15" i="1" s="1"/>
  <c r="J16" i="1"/>
  <c r="K16" i="1" s="1"/>
  <c r="J9" i="1"/>
  <c r="K9" i="1" s="1"/>
  <c r="E7" i="1"/>
  <c r="G7" i="1" s="1"/>
  <c r="N12" i="1"/>
  <c r="O12" i="1" s="1"/>
  <c r="J15" i="1"/>
  <c r="K15" i="1" s="1"/>
  <c r="J8" i="1"/>
  <c r="K8" i="1" s="1"/>
  <c r="N7" i="1"/>
  <c r="O7" i="1" s="1"/>
  <c r="E14" i="1"/>
  <c r="A15" i="1"/>
  <c r="E13" i="1"/>
  <c r="E16" i="1"/>
  <c r="E9" i="1"/>
  <c r="A17" i="1"/>
  <c r="A10" i="1"/>
  <c r="E15" i="1"/>
  <c r="E8" i="1"/>
  <c r="A16" i="1"/>
  <c r="A9" i="1"/>
  <c r="A14" i="1"/>
  <c r="E12" i="1"/>
  <c r="A8" i="1"/>
  <c r="A12" i="1"/>
  <c r="A13" i="1"/>
  <c r="E11" i="1"/>
  <c r="E17" i="1"/>
  <c r="E10" i="1"/>
  <c r="A7" i="1"/>
  <c r="G8" i="1" l="1"/>
  <c r="G13" i="1"/>
  <c r="G11" i="1"/>
  <c r="G15" i="1"/>
  <c r="G14" i="1"/>
  <c r="G12" i="1"/>
  <c r="G10" i="1"/>
  <c r="G9" i="1"/>
  <c r="G17" i="1"/>
  <c r="G16" i="1"/>
  <c r="B9" i="1"/>
  <c r="S9" i="1" s="1"/>
  <c r="C9" i="1"/>
  <c r="B13" i="1"/>
  <c r="S13" i="1" s="1"/>
  <c r="C13" i="1"/>
  <c r="B15" i="1"/>
  <c r="S15" i="1" s="1"/>
  <c r="C15" i="1"/>
  <c r="B12" i="1"/>
  <c r="S12" i="1" s="1"/>
  <c r="C12" i="1"/>
  <c r="B16" i="1"/>
  <c r="S16" i="1" s="1"/>
  <c r="C16" i="1"/>
  <c r="B7" i="1"/>
  <c r="S7" i="1" s="1"/>
  <c r="C7" i="1"/>
  <c r="B8" i="1"/>
  <c r="S8" i="1" s="1"/>
  <c r="C8" i="1"/>
  <c r="B10" i="1"/>
  <c r="S10" i="1" s="1"/>
  <c r="C10" i="1"/>
  <c r="F7" i="1"/>
  <c r="T7" i="1" s="1"/>
  <c r="B17" i="1"/>
  <c r="S17" i="1" s="1"/>
  <c r="C17" i="1"/>
  <c r="B14" i="1"/>
  <c r="S14" i="1" s="1"/>
  <c r="C14" i="1"/>
  <c r="F9" i="1"/>
  <c r="T9" i="1" s="1"/>
  <c r="F11" i="1"/>
  <c r="T11" i="1" s="1"/>
  <c r="F16" i="1"/>
  <c r="T16" i="1" s="1"/>
  <c r="F13" i="1"/>
  <c r="T13" i="1" s="1"/>
  <c r="F17" i="1"/>
  <c r="T17" i="1" s="1"/>
  <c r="F8" i="1"/>
  <c r="T8" i="1" s="1"/>
  <c r="F15" i="1"/>
  <c r="T15" i="1" s="1"/>
  <c r="F14" i="1"/>
  <c r="T14" i="1" s="1"/>
  <c r="F10" i="1"/>
  <c r="T10" i="1" s="1"/>
  <c r="F12" i="1"/>
  <c r="T12" i="1" s="1"/>
</calcChain>
</file>

<file path=xl/sharedStrings.xml><?xml version="1.0" encoding="utf-8"?>
<sst xmlns="http://schemas.openxmlformats.org/spreadsheetml/2006/main" count="32" uniqueCount="17">
  <si>
    <t>The Supply linear line</t>
  </si>
  <si>
    <t>Formular</t>
  </si>
  <si>
    <t>Qs = A +B*P</t>
  </si>
  <si>
    <t>A</t>
  </si>
  <si>
    <t>B</t>
  </si>
  <si>
    <t>P(n)</t>
  </si>
  <si>
    <t>Qs(Pn)</t>
  </si>
  <si>
    <t xml:space="preserve"> </t>
  </si>
  <si>
    <t>Qd(Pn)</t>
  </si>
  <si>
    <t>Qd(max)</t>
  </si>
  <si>
    <t>The Demand linear line</t>
  </si>
  <si>
    <t>Short run</t>
  </si>
  <si>
    <t>Long run</t>
  </si>
  <si>
    <t>The elasticitc supply curve/ price</t>
  </si>
  <si>
    <t>Es(p)</t>
  </si>
  <si>
    <t>P/Q</t>
  </si>
  <si>
    <t>Ed(p)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</si>
</sst>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231F20"/>
      <name val="Avenir-Book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1" fillId="0" borderId="0" xfId="0" applyFont="1" applyAlignment="1">
      <alignment vertical="center" wrapText="1"/>
    </xf>
    <xf numFmtId="2" fontId="0" fillId="0" borderId="1" xfId="0" applyNumberFormat="1" applyBorder="1"/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985511045045506E-2"/>
          <c:y val="4.6783625730994149E-2"/>
          <c:w val="0.86597010531002361"/>
          <c:h val="0.84000810425012662"/>
        </c:manualLayout>
      </c:layout>
      <c:scatterChart>
        <c:scatterStyle val="smoothMarker"/>
        <c:varyColors val="0"/>
        <c:ser>
          <c:idx val="0"/>
          <c:order val="0"/>
          <c:tx>
            <c:v>Supply line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Sheet1!$B$7:$B$17</c:f>
              <c:numCache>
                <c:formatCode>General</c:formatCode>
                <c:ptCount val="11"/>
                <c:pt idx="0">
                  <c:v>1944</c:v>
                </c:pt>
                <c:pt idx="1">
                  <c:v>2181.2819787985864</c:v>
                </c:pt>
                <c:pt idx="2">
                  <c:v>2418.5639575971732</c:v>
                </c:pt>
                <c:pt idx="3">
                  <c:v>2655.8459363957595</c:v>
                </c:pt>
                <c:pt idx="4">
                  <c:v>2893.1279151943463</c:v>
                </c:pt>
                <c:pt idx="5">
                  <c:v>3130.4098939929327</c:v>
                </c:pt>
                <c:pt idx="6">
                  <c:v>3367.691872791519</c:v>
                </c:pt>
                <c:pt idx="7">
                  <c:v>3604.9738515901058</c:v>
                </c:pt>
                <c:pt idx="8">
                  <c:v>3842.2558303886926</c:v>
                </c:pt>
                <c:pt idx="9">
                  <c:v>4079.537809187279</c:v>
                </c:pt>
                <c:pt idx="10">
                  <c:v>4316.8197879858653</c:v>
                </c:pt>
              </c:numCache>
            </c:numRef>
          </c:xVal>
          <c:yVal>
            <c:numRef>
              <c:f>Sheet1!$A$7:$A$17</c:f>
              <c:numCache>
                <c:formatCode>General</c:formatCode>
                <c:ptCount val="11"/>
                <c:pt idx="0">
                  <c:v>0</c:v>
                </c:pt>
                <c:pt idx="1">
                  <c:v>1.1462897526501767</c:v>
                </c:pt>
                <c:pt idx="2">
                  <c:v>2.2925795053003535</c:v>
                </c:pt>
                <c:pt idx="3">
                  <c:v>3.4388692579505298</c:v>
                </c:pt>
                <c:pt idx="4">
                  <c:v>4.585159010600707</c:v>
                </c:pt>
                <c:pt idx="5">
                  <c:v>5.7314487632508833</c:v>
                </c:pt>
                <c:pt idx="6">
                  <c:v>6.8777385159010596</c:v>
                </c:pt>
                <c:pt idx="7">
                  <c:v>8.0240282685512359</c:v>
                </c:pt>
                <c:pt idx="8">
                  <c:v>9.1703180212014139</c:v>
                </c:pt>
                <c:pt idx="9">
                  <c:v>10.31660777385159</c:v>
                </c:pt>
                <c:pt idx="10">
                  <c:v>11.462897526501767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E4-4E59-B7AD-FBBC1498ECBE}"/>
            </c:ext>
          </c:extLst>
        </c:ser>
        <c:ser>
          <c:idx val="1"/>
          <c:order val="1"/>
          <c:tx>
            <c:v>Demand line</c:v>
          </c:tx>
          <c:marker>
            <c:symbol val="none"/>
          </c:marker>
          <c:xVal>
            <c:numRef>
              <c:f>Sheet1!$F$7:$F$17</c:f>
              <c:numCache>
                <c:formatCode>General</c:formatCode>
                <c:ptCount val="11"/>
                <c:pt idx="0">
                  <c:v>3244</c:v>
                </c:pt>
                <c:pt idx="1">
                  <c:v>2919.6</c:v>
                </c:pt>
                <c:pt idx="2">
                  <c:v>2595.1999999999998</c:v>
                </c:pt>
                <c:pt idx="3">
                  <c:v>2270.8000000000002</c:v>
                </c:pt>
                <c:pt idx="4">
                  <c:v>1946.3999999999999</c:v>
                </c:pt>
                <c:pt idx="5">
                  <c:v>1622</c:v>
                </c:pt>
                <c:pt idx="6">
                  <c:v>1297.6000000000001</c:v>
                </c:pt>
                <c:pt idx="7">
                  <c:v>973.20000000000027</c:v>
                </c:pt>
                <c:pt idx="8">
                  <c:v>648.79999999999973</c:v>
                </c:pt>
                <c:pt idx="9">
                  <c:v>324.40000000000009</c:v>
                </c:pt>
                <c:pt idx="10">
                  <c:v>0</c:v>
                </c:pt>
              </c:numCache>
            </c:numRef>
          </c:xVal>
          <c:yVal>
            <c:numRef>
              <c:f>Sheet1!$E$7:$E$17</c:f>
              <c:numCache>
                <c:formatCode>General</c:formatCode>
                <c:ptCount val="11"/>
                <c:pt idx="0">
                  <c:v>0</c:v>
                </c:pt>
                <c:pt idx="1">
                  <c:v>1.1462897526501767</c:v>
                </c:pt>
                <c:pt idx="2">
                  <c:v>2.2925795053003535</c:v>
                </c:pt>
                <c:pt idx="3">
                  <c:v>3.4388692579505298</c:v>
                </c:pt>
                <c:pt idx="4">
                  <c:v>4.585159010600707</c:v>
                </c:pt>
                <c:pt idx="5">
                  <c:v>5.7314487632508833</c:v>
                </c:pt>
                <c:pt idx="6">
                  <c:v>6.8777385159010596</c:v>
                </c:pt>
                <c:pt idx="7">
                  <c:v>8.0240282685512359</c:v>
                </c:pt>
                <c:pt idx="8">
                  <c:v>9.1703180212014139</c:v>
                </c:pt>
                <c:pt idx="9">
                  <c:v>10.31660777385159</c:v>
                </c:pt>
                <c:pt idx="10">
                  <c:v>11.462897526501767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DE4-4E59-B7AD-FBBC1498ECBE}"/>
            </c:ext>
          </c:extLst>
        </c:ser>
        <c:ser>
          <c:idx val="2"/>
          <c:order val="2"/>
          <c:tx>
            <c:v>Qd'</c:v>
          </c:tx>
          <c:marker>
            <c:symbol val="none"/>
          </c:marker>
          <c:xVal>
            <c:numRef>
              <c:f>Sheet1!$G$7:$G$17</c:f>
              <c:numCache>
                <c:formatCode>General</c:formatCode>
                <c:ptCount val="11"/>
                <c:pt idx="0">
                  <c:v>2626.4</c:v>
                </c:pt>
                <c:pt idx="1">
                  <c:v>2382.6987985865726</c:v>
                </c:pt>
                <c:pt idx="2">
                  <c:v>2138.9975971731451</c:v>
                </c:pt>
                <c:pt idx="3">
                  <c:v>1895.2963957597176</c:v>
                </c:pt>
                <c:pt idx="4">
                  <c:v>1651.5951943462899</c:v>
                </c:pt>
                <c:pt idx="5">
                  <c:v>1407.8939929328624</c:v>
                </c:pt>
                <c:pt idx="6">
                  <c:v>1164.1927915194349</c:v>
                </c:pt>
                <c:pt idx="7">
                  <c:v>920.49159010600738</c:v>
                </c:pt>
                <c:pt idx="8">
                  <c:v>676.79038869257965</c:v>
                </c:pt>
                <c:pt idx="9">
                  <c:v>433.08918727915216</c:v>
                </c:pt>
                <c:pt idx="10">
                  <c:v>189.38798586572466</c:v>
                </c:pt>
              </c:numCache>
            </c:numRef>
          </c:xVal>
          <c:yVal>
            <c:numRef>
              <c:f>Sheet1!$E$7:$E$17</c:f>
              <c:numCache>
                <c:formatCode>General</c:formatCode>
                <c:ptCount val="11"/>
                <c:pt idx="0">
                  <c:v>0</c:v>
                </c:pt>
                <c:pt idx="1">
                  <c:v>1.1462897526501767</c:v>
                </c:pt>
                <c:pt idx="2">
                  <c:v>2.2925795053003535</c:v>
                </c:pt>
                <c:pt idx="3">
                  <c:v>3.4388692579505298</c:v>
                </c:pt>
                <c:pt idx="4">
                  <c:v>4.585159010600707</c:v>
                </c:pt>
                <c:pt idx="5">
                  <c:v>5.7314487632508833</c:v>
                </c:pt>
                <c:pt idx="6">
                  <c:v>6.8777385159010596</c:v>
                </c:pt>
                <c:pt idx="7">
                  <c:v>8.0240282685512359</c:v>
                </c:pt>
                <c:pt idx="8">
                  <c:v>9.1703180212014139</c:v>
                </c:pt>
                <c:pt idx="9">
                  <c:v>10.31660777385159</c:v>
                </c:pt>
                <c:pt idx="10">
                  <c:v>11.462897526501767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3F-4C5E-8779-862E7F50F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525631"/>
        <c:axId val="1430521311"/>
      </c:scatterChart>
      <c:valAx>
        <c:axId val="1430525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21311"/>
        <c:crosses val="autoZero"/>
        <c:crossBetween val="midCat"/>
      </c:valAx>
      <c:valAx>
        <c:axId val="143052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2563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2"/>
          <c:order val="0"/>
          <c:tx>
            <c:v>Supply line</c:v>
          </c:tx>
          <c:marker>
            <c:symbol val="none"/>
          </c:marker>
          <c:xVal>
            <c:numRef>
              <c:f>Sheet1!$K$7:$K$17</c:f>
              <c:numCache>
                <c:formatCode>General</c:formatCode>
                <c:ptCount val="11"/>
                <c:pt idx="0">
                  <c:v>-50</c:v>
                </c:pt>
                <c:pt idx="1">
                  <c:v>25</c:v>
                </c:pt>
                <c:pt idx="2">
                  <c:v>100</c:v>
                </c:pt>
                <c:pt idx="3">
                  <c:v>175</c:v>
                </c:pt>
                <c:pt idx="4">
                  <c:v>250</c:v>
                </c:pt>
                <c:pt idx="5">
                  <c:v>325</c:v>
                </c:pt>
                <c:pt idx="6">
                  <c:v>400</c:v>
                </c:pt>
                <c:pt idx="7">
                  <c:v>475</c:v>
                </c:pt>
                <c:pt idx="8">
                  <c:v>550</c:v>
                </c:pt>
                <c:pt idx="9">
                  <c:v>625</c:v>
                </c:pt>
                <c:pt idx="10">
                  <c:v>700</c:v>
                </c:pt>
              </c:numCache>
            </c:numRef>
          </c:xVal>
          <c:yVal>
            <c:numRef>
              <c:f>Sheet1!$J$7:$J$17</c:f>
              <c:numCache>
                <c:formatCode>General</c:formatCode>
                <c:ptCount val="1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DE4-4E59-B7AD-FBBC1498ECBE}"/>
            </c:ext>
          </c:extLst>
        </c:ser>
        <c:ser>
          <c:idx val="3"/>
          <c:order val="1"/>
          <c:tx>
            <c:v>Demand line</c:v>
          </c:tx>
          <c:marker>
            <c:symbol val="none"/>
          </c:marker>
          <c:xVal>
            <c:numRef>
              <c:f>Sheet1!$O$7:$O$17</c:f>
              <c:numCache>
                <c:formatCode>General</c:formatCode>
                <c:ptCount val="11"/>
                <c:pt idx="0">
                  <c:v>500</c:v>
                </c:pt>
                <c:pt idx="1">
                  <c:v>450</c:v>
                </c:pt>
                <c:pt idx="2">
                  <c:v>400</c:v>
                </c:pt>
                <c:pt idx="3">
                  <c:v>350</c:v>
                </c:pt>
                <c:pt idx="4">
                  <c:v>300</c:v>
                </c:pt>
                <c:pt idx="5">
                  <c:v>250</c:v>
                </c:pt>
                <c:pt idx="6">
                  <c:v>200</c:v>
                </c:pt>
                <c:pt idx="7">
                  <c:v>150</c:v>
                </c:pt>
                <c:pt idx="8">
                  <c:v>100</c:v>
                </c:pt>
                <c:pt idx="9">
                  <c:v>50</c:v>
                </c:pt>
                <c:pt idx="10">
                  <c:v>0</c:v>
                </c:pt>
              </c:numCache>
            </c:numRef>
          </c:xVal>
          <c:yVal>
            <c:numRef>
              <c:f>Sheet1!$N$7:$N$17</c:f>
              <c:numCache>
                <c:formatCode>General</c:formatCode>
                <c:ptCount val="1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DE4-4E59-B7AD-FBBC1498E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525631"/>
        <c:axId val="1430521311"/>
      </c:scatterChart>
      <c:valAx>
        <c:axId val="1430525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21311"/>
        <c:crosses val="autoZero"/>
        <c:crossBetween val="midCat"/>
      </c:valAx>
      <c:valAx>
        <c:axId val="143052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2563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2"/>
          <c:order val="0"/>
          <c:tx>
            <c:v>E supply</c:v>
          </c:tx>
          <c:marker>
            <c:symbol val="none"/>
          </c:marker>
          <c:xVal>
            <c:numRef>
              <c:f>Sheet1!$A$7:$A$17</c:f>
              <c:numCache>
                <c:formatCode>General</c:formatCode>
                <c:ptCount val="11"/>
                <c:pt idx="0">
                  <c:v>0</c:v>
                </c:pt>
                <c:pt idx="1">
                  <c:v>1.1462897526501767</c:v>
                </c:pt>
                <c:pt idx="2">
                  <c:v>2.2925795053003535</c:v>
                </c:pt>
                <c:pt idx="3">
                  <c:v>3.4388692579505298</c:v>
                </c:pt>
                <c:pt idx="4">
                  <c:v>4.585159010600707</c:v>
                </c:pt>
                <c:pt idx="5">
                  <c:v>5.7314487632508833</c:v>
                </c:pt>
                <c:pt idx="6">
                  <c:v>6.8777385159010596</c:v>
                </c:pt>
                <c:pt idx="7">
                  <c:v>8.0240282685512359</c:v>
                </c:pt>
                <c:pt idx="8">
                  <c:v>9.1703180212014139</c:v>
                </c:pt>
                <c:pt idx="9">
                  <c:v>10.31660777385159</c:v>
                </c:pt>
                <c:pt idx="10">
                  <c:v>11.462897526501767</c:v>
                </c:pt>
              </c:numCache>
            </c:numRef>
          </c:xVal>
          <c:yVal>
            <c:numRef>
              <c:f>Sheet1!$S$7:$S$17</c:f>
              <c:numCache>
                <c:formatCode>General</c:formatCode>
                <c:ptCount val="11"/>
                <c:pt idx="0">
                  <c:v>0</c:v>
                </c:pt>
                <c:pt idx="1">
                  <c:v>0.10878097426416988</c:v>
                </c:pt>
                <c:pt idx="2">
                  <c:v>0.19621724540567836</c:v>
                </c:pt>
                <c:pt idx="3">
                  <c:v>0.26802983058640956</c:v>
                </c:pt>
                <c:pt idx="4">
                  <c:v>0.32806289352421825</c:v>
                </c:pt>
                <c:pt idx="5">
                  <c:v>0.37899506268159378</c:v>
                </c:pt>
                <c:pt idx="6">
                  <c:v>0.42275003966185443</c:v>
                </c:pt>
                <c:pt idx="7">
                  <c:v>0.46074504836074537</c:v>
                </c:pt>
                <c:pt idx="8">
                  <c:v>0.49404722490762942</c:v>
                </c:pt>
                <c:pt idx="9">
                  <c:v>0.52347543007885944</c:v>
                </c:pt>
                <c:pt idx="10">
                  <c:v>0.54966848386621492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DE4-4E59-B7AD-FBBC1498ECBE}"/>
            </c:ext>
          </c:extLst>
        </c:ser>
        <c:ser>
          <c:idx val="1"/>
          <c:order val="1"/>
          <c:tx>
            <c:v>E Demand (price)</c:v>
          </c:tx>
          <c:marker>
            <c:symbol val="none"/>
          </c:marker>
          <c:xVal>
            <c:numRef>
              <c:f>Sheet1!$E$7:$E$17</c:f>
              <c:numCache>
                <c:formatCode>General</c:formatCode>
                <c:ptCount val="11"/>
                <c:pt idx="0">
                  <c:v>0</c:v>
                </c:pt>
                <c:pt idx="1">
                  <c:v>1.1462897526501767</c:v>
                </c:pt>
                <c:pt idx="2">
                  <c:v>2.2925795053003535</c:v>
                </c:pt>
                <c:pt idx="3">
                  <c:v>3.4388692579505298</c:v>
                </c:pt>
                <c:pt idx="4">
                  <c:v>4.585159010600707</c:v>
                </c:pt>
                <c:pt idx="5">
                  <c:v>5.7314487632508833</c:v>
                </c:pt>
                <c:pt idx="6">
                  <c:v>6.8777385159010596</c:v>
                </c:pt>
                <c:pt idx="7">
                  <c:v>8.0240282685512359</c:v>
                </c:pt>
                <c:pt idx="8">
                  <c:v>9.1703180212014139</c:v>
                </c:pt>
                <c:pt idx="9">
                  <c:v>10.31660777385159</c:v>
                </c:pt>
                <c:pt idx="10">
                  <c:v>11.462897526501767</c:v>
                </c:pt>
              </c:numCache>
            </c:numRef>
          </c:xVal>
          <c:yVal>
            <c:numRef>
              <c:f>Sheet1!$T$7:$T$17</c:f>
              <c:numCache>
                <c:formatCode>General</c:formatCode>
                <c:ptCount val="11"/>
                <c:pt idx="0">
                  <c:v>0</c:v>
                </c:pt>
                <c:pt idx="1">
                  <c:v>-0.11111111111111112</c:v>
                </c:pt>
                <c:pt idx="2">
                  <c:v>-0.25</c:v>
                </c:pt>
                <c:pt idx="3">
                  <c:v>-0.42857142857142849</c:v>
                </c:pt>
                <c:pt idx="4">
                  <c:v>-0.66666666666666674</c:v>
                </c:pt>
                <c:pt idx="5">
                  <c:v>-1</c:v>
                </c:pt>
                <c:pt idx="6">
                  <c:v>-1.4999999999999996</c:v>
                </c:pt>
                <c:pt idx="7">
                  <c:v>-2.3333333333333321</c:v>
                </c:pt>
                <c:pt idx="8">
                  <c:v>-4.0000000000000018</c:v>
                </c:pt>
                <c:pt idx="9">
                  <c:v>-8.9999999999999964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DE4-4E59-B7AD-FBBC1498E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525631"/>
        <c:axId val="1430521311"/>
      </c:scatterChart>
      <c:valAx>
        <c:axId val="1430525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21311"/>
        <c:crosses val="autoZero"/>
        <c:crossBetween val="midCat"/>
      </c:valAx>
      <c:valAx>
        <c:axId val="143052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2563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17</xdr:row>
      <xdr:rowOff>133350</xdr:rowOff>
    </xdr:from>
    <xdr:to>
      <xdr:col>6</xdr:col>
      <xdr:colOff>352425</xdr:colOff>
      <xdr:row>32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B27E6-9165-C758-D1BB-C98BEE3AA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133349</xdr:colOff>
      <xdr:row>17</xdr:row>
      <xdr:rowOff>171450</xdr:rowOff>
    </xdr:from>
    <xdr:to>
      <xdr:col>17</xdr:col>
      <xdr:colOff>0</xdr:colOff>
      <xdr:row>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E5E710-4E6E-8B9A-5893-D3BBA698C8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91440</xdr:colOff>
      <xdr:row>17</xdr:row>
      <xdr:rowOff>53340</xdr:rowOff>
    </xdr:from>
    <xdr:to>
      <xdr:col>23</xdr:col>
      <xdr:colOff>268605</xdr:colOff>
      <xdr:row>32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BC2ACB-D36A-D3D8-FD7E-B57ED58F36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5352-0CE0-4E5D-84D2-6A6FACE32588}">
  <dimension ref="A1:T17"/>
  <sheetViews>
    <sheetView tabSelected="1" topLeftCell="A7" workbookViewId="0">
      <selection activeCell="H31" sqref="H31"/>
    </sheetView>
  </sheetViews>
  <sheetFormatPr defaultRowHeight="14.4"/>
  <cols>
    <col min="2" max="2" width="15.77734375" customWidth="1"/>
    <col min="3" max="3" width="16.44140625" customWidth="1"/>
    <col min="4" max="4" width="4" bestFit="1" customWidth="1"/>
    <col min="5" max="5" width="5" bestFit="1" customWidth="1"/>
    <col min="6" max="6" width="16.6640625" bestFit="1" customWidth="1"/>
    <col min="7" max="7" width="22.33203125" customWidth="1"/>
    <col min="8" max="8" width="3" bestFit="1" customWidth="1"/>
    <col min="9" max="9" width="3.88671875" customWidth="1"/>
    <col min="10" max="10" width="8.77734375" bestFit="1" customWidth="1"/>
    <col min="11" max="11" width="10.77734375" bestFit="1" customWidth="1"/>
    <col min="12" max="12" width="12.5546875" bestFit="1" customWidth="1"/>
    <col min="13" max="13" width="6.6640625" customWidth="1"/>
    <col min="14" max="14" width="4.5546875" bestFit="1" customWidth="1"/>
    <col min="15" max="15" width="13.6640625" bestFit="1" customWidth="1"/>
    <col min="16" max="16" width="8.44140625" bestFit="1" customWidth="1"/>
    <col min="17" max="17" width="4" bestFit="1" customWidth="1"/>
    <col min="19" max="19" width="12" bestFit="1" customWidth="1"/>
    <col min="20" max="20" width="19.6640625" customWidth="1"/>
  </cols>
  <sheetData>
    <row r="1" spans="1:20">
      <c r="A1" s="9" t="s">
        <v>11</v>
      </c>
      <c r="B1" s="9"/>
      <c r="C1" s="9"/>
      <c r="D1" s="9"/>
      <c r="E1" s="9"/>
      <c r="F1" s="9"/>
      <c r="G1" s="9"/>
      <c r="H1" s="9"/>
      <c r="J1" s="9" t="s">
        <v>12</v>
      </c>
      <c r="K1" s="9"/>
      <c r="L1" s="9"/>
      <c r="M1" s="9"/>
      <c r="N1" s="9"/>
      <c r="O1" s="9"/>
      <c r="P1" s="9"/>
      <c r="Q1" s="9"/>
    </row>
    <row r="2" spans="1:20">
      <c r="A2" s="7" t="s">
        <v>0</v>
      </c>
      <c r="B2" s="7"/>
      <c r="C2" s="7"/>
      <c r="E2" s="8" t="s">
        <v>10</v>
      </c>
      <c r="F2" s="8"/>
      <c r="G2" s="8"/>
      <c r="H2" s="8"/>
      <c r="J2" s="7" t="s">
        <v>0</v>
      </c>
      <c r="K2" s="7"/>
      <c r="L2" s="7"/>
      <c r="N2" s="8" t="s">
        <v>10</v>
      </c>
      <c r="O2" s="8"/>
      <c r="P2" s="8"/>
      <c r="Q2" s="8"/>
      <c r="S2" s="6" t="s">
        <v>13</v>
      </c>
      <c r="T2" s="6"/>
    </row>
    <row r="3" spans="1:20">
      <c r="A3" s="1" t="s">
        <v>1</v>
      </c>
      <c r="B3" s="2" t="str">
        <f>CONCATENATE("Qs = ", B4," + ", B5, "*P")</f>
        <v>Qs = 1944 + 207*P</v>
      </c>
      <c r="C3" s="2" t="str">
        <f>CONCATENATE("Q's = ", C4," + ", C5, "*P")</f>
        <v>Q's = 1744 + 207*P</v>
      </c>
      <c r="E3" s="1" t="s">
        <v>7</v>
      </c>
      <c r="F3" s="2" t="str">
        <f>CONCATENATE("Qs = ", F4," + ", F5, "*P")</f>
        <v>Qs = 3244 + -283*P</v>
      </c>
      <c r="G3" s="2" t="str">
        <f>CONCATENATE("Q's = ", G4, G5, "*P")</f>
        <v>Q's = 2626.4-212.6*P</v>
      </c>
      <c r="H3" s="1">
        <f>F4/(-F5)</f>
        <v>11.462897526501767</v>
      </c>
      <c r="J3" s="1" t="s">
        <v>1</v>
      </c>
      <c r="K3" s="1" t="s">
        <v>2</v>
      </c>
      <c r="L3" s="2" t="str">
        <f>CONCATENATE("Qs = ", K4," + ", K5, "*P")</f>
        <v>Qs = -50 + 3*P</v>
      </c>
      <c r="N3" s="1" t="s">
        <v>7</v>
      </c>
      <c r="O3" s="2" t="str">
        <f>CONCATENATE("Qs = ", O4," + ", O5, "*P")</f>
        <v>Qs = 500 + -2*P</v>
      </c>
      <c r="P3" s="1" t="s">
        <v>9</v>
      </c>
      <c r="Q3" s="1">
        <f>O4/(-O5)</f>
        <v>250</v>
      </c>
      <c r="S3" s="1" t="s">
        <v>15</v>
      </c>
      <c r="T3" s="1"/>
    </row>
    <row r="4" spans="1:20">
      <c r="A4" s="1" t="s">
        <v>3</v>
      </c>
      <c r="B4" s="1">
        <v>1944</v>
      </c>
      <c r="C4" s="1">
        <v>1744</v>
      </c>
      <c r="E4" s="1" t="s">
        <v>3</v>
      </c>
      <c r="F4" s="1">
        <v>3244</v>
      </c>
      <c r="G4" s="1">
        <v>2626.4</v>
      </c>
      <c r="H4" s="1"/>
      <c r="J4" s="1" t="s">
        <v>3</v>
      </c>
      <c r="K4" s="1">
        <v>-50</v>
      </c>
      <c r="L4" s="1"/>
      <c r="N4" s="1" t="s">
        <v>3</v>
      </c>
      <c r="O4" s="1">
        <f>300+4*50</f>
        <v>500</v>
      </c>
      <c r="P4" s="1"/>
      <c r="Q4" s="1"/>
      <c r="S4" s="1"/>
      <c r="T4" s="1"/>
    </row>
    <row r="5" spans="1:20">
      <c r="A5" s="1" t="s">
        <v>4</v>
      </c>
      <c r="B5" s="5">
        <v>207</v>
      </c>
      <c r="C5" s="1">
        <v>207</v>
      </c>
      <c r="E5" s="1" t="s">
        <v>4</v>
      </c>
      <c r="F5" s="1">
        <v>-283</v>
      </c>
      <c r="G5" s="1">
        <v>-212.6</v>
      </c>
      <c r="H5" s="1"/>
      <c r="J5" s="1" t="s">
        <v>4</v>
      </c>
      <c r="K5" s="1">
        <v>3</v>
      </c>
      <c r="L5" s="1"/>
      <c r="N5" s="1" t="s">
        <v>4</v>
      </c>
      <c r="O5" s="4">
        <v>-2</v>
      </c>
      <c r="P5" s="1"/>
      <c r="Q5" s="1"/>
      <c r="S5" s="1"/>
      <c r="T5" s="1"/>
    </row>
    <row r="6" spans="1:20">
      <c r="A6" s="3" t="s">
        <v>5</v>
      </c>
      <c r="B6" t="s">
        <v>6</v>
      </c>
      <c r="E6" t="s">
        <v>5</v>
      </c>
      <c r="F6" t="s">
        <v>8</v>
      </c>
      <c r="J6" s="3" t="s">
        <v>5</v>
      </c>
      <c r="K6" t="s">
        <v>6</v>
      </c>
      <c r="N6" t="s">
        <v>5</v>
      </c>
      <c r="O6" t="s">
        <v>8</v>
      </c>
      <c r="S6" t="s">
        <v>14</v>
      </c>
      <c r="T6" t="s">
        <v>16</v>
      </c>
    </row>
    <row r="7" spans="1:20">
      <c r="A7">
        <f>D7*$H$3</f>
        <v>0</v>
      </c>
      <c r="B7">
        <f>$B$4+$B$5*A7</f>
        <v>1944</v>
      </c>
      <c r="C7">
        <f>$C$4+$C$5*A7</f>
        <v>1744</v>
      </c>
      <c r="D7">
        <v>0</v>
      </c>
      <c r="E7">
        <f>D7*$H$3</f>
        <v>0</v>
      </c>
      <c r="F7">
        <f>$F$4+$F$5*E7</f>
        <v>3244</v>
      </c>
      <c r="G7">
        <f>$G$4+$G$5*E7</f>
        <v>2626.4</v>
      </c>
      <c r="J7">
        <f>M7*$Q$3</f>
        <v>0</v>
      </c>
      <c r="K7">
        <f>$K$4+$K$5*J7</f>
        <v>-50</v>
      </c>
      <c r="M7">
        <v>0</v>
      </c>
      <c r="N7">
        <f>M7*$Q$3</f>
        <v>0</v>
      </c>
      <c r="O7">
        <f>$O$4+$O$5*N7</f>
        <v>500</v>
      </c>
      <c r="S7">
        <f>(A7/B7)*($B$5)</f>
        <v>0</v>
      </c>
      <c r="T7">
        <f>(E7/F7)*($F$5)</f>
        <v>0</v>
      </c>
    </row>
    <row r="8" spans="1:20">
      <c r="A8">
        <f t="shared" ref="A8:A17" si="0">D8*$H$3</f>
        <v>1.1462897526501767</v>
      </c>
      <c r="B8">
        <f t="shared" ref="B8:B17" si="1">$B$4+$B$5*A8</f>
        <v>2181.2819787985864</v>
      </c>
      <c r="C8">
        <f t="shared" ref="C8:C17" si="2">$C$4+$C$5*A8</f>
        <v>1981.2819787985866</v>
      </c>
      <c r="D8">
        <v>0.1</v>
      </c>
      <c r="E8">
        <f t="shared" ref="E8:E17" si="3">D8*$H$3</f>
        <v>1.1462897526501767</v>
      </c>
      <c r="F8">
        <f t="shared" ref="F8:F17" si="4">$F$4+$F$5*E8</f>
        <v>2919.6</v>
      </c>
      <c r="G8">
        <f t="shared" ref="G8:G17" si="5">$G$4+$G$5*E8</f>
        <v>2382.6987985865726</v>
      </c>
      <c r="J8">
        <f t="shared" ref="J8:J17" si="6">M8*$Q$3</f>
        <v>25</v>
      </c>
      <c r="K8">
        <f t="shared" ref="K8:K17" si="7">$K$4+$K$5*J8</f>
        <v>25</v>
      </c>
      <c r="M8">
        <v>0.1</v>
      </c>
      <c r="N8">
        <f t="shared" ref="N8:N17" si="8">M8*$Q$3</f>
        <v>25</v>
      </c>
      <c r="O8">
        <f t="shared" ref="O8:O17" si="9">$O$4+$O$5*N8</f>
        <v>450</v>
      </c>
      <c r="S8">
        <f t="shared" ref="S8:S17" si="10">(A8/B8)*($B$5)</f>
        <v>0.10878097426416988</v>
      </c>
      <c r="T8">
        <f t="shared" ref="T8:T17" si="11">(E8/F8)*($F$5)</f>
        <v>-0.11111111111111112</v>
      </c>
    </row>
    <row r="9" spans="1:20">
      <c r="A9">
        <f t="shared" si="0"/>
        <v>2.2925795053003535</v>
      </c>
      <c r="B9">
        <f t="shared" si="1"/>
        <v>2418.5639575971732</v>
      </c>
      <c r="C9">
        <f t="shared" si="2"/>
        <v>2218.5639575971732</v>
      </c>
      <c r="D9">
        <v>0.2</v>
      </c>
      <c r="E9">
        <f t="shared" si="3"/>
        <v>2.2925795053003535</v>
      </c>
      <c r="F9">
        <f t="shared" si="4"/>
        <v>2595.1999999999998</v>
      </c>
      <c r="G9">
        <f t="shared" si="5"/>
        <v>2138.9975971731451</v>
      </c>
      <c r="J9">
        <f t="shared" si="6"/>
        <v>50</v>
      </c>
      <c r="K9">
        <f t="shared" si="7"/>
        <v>100</v>
      </c>
      <c r="M9">
        <v>0.2</v>
      </c>
      <c r="N9">
        <f t="shared" si="8"/>
        <v>50</v>
      </c>
      <c r="O9">
        <f t="shared" si="9"/>
        <v>400</v>
      </c>
      <c r="S9">
        <f t="shared" si="10"/>
        <v>0.19621724540567836</v>
      </c>
      <c r="T9">
        <f t="shared" si="11"/>
        <v>-0.25</v>
      </c>
    </row>
    <row r="10" spans="1:20">
      <c r="A10">
        <f t="shared" si="0"/>
        <v>3.4388692579505298</v>
      </c>
      <c r="B10">
        <f t="shared" si="1"/>
        <v>2655.8459363957595</v>
      </c>
      <c r="C10">
        <f t="shared" si="2"/>
        <v>2455.8459363957595</v>
      </c>
      <c r="D10">
        <v>0.3</v>
      </c>
      <c r="E10">
        <f t="shared" si="3"/>
        <v>3.4388692579505298</v>
      </c>
      <c r="F10">
        <f t="shared" si="4"/>
        <v>2270.8000000000002</v>
      </c>
      <c r="G10">
        <f t="shared" si="5"/>
        <v>1895.2963957597176</v>
      </c>
      <c r="J10">
        <f t="shared" si="6"/>
        <v>75</v>
      </c>
      <c r="K10">
        <f t="shared" si="7"/>
        <v>175</v>
      </c>
      <c r="M10">
        <v>0.3</v>
      </c>
      <c r="N10">
        <f t="shared" si="8"/>
        <v>75</v>
      </c>
      <c r="O10">
        <f t="shared" si="9"/>
        <v>350</v>
      </c>
      <c r="S10">
        <f t="shared" si="10"/>
        <v>0.26802983058640956</v>
      </c>
      <c r="T10">
        <f t="shared" si="11"/>
        <v>-0.42857142857142849</v>
      </c>
    </row>
    <row r="11" spans="1:20">
      <c r="A11">
        <f t="shared" si="0"/>
        <v>4.585159010600707</v>
      </c>
      <c r="B11">
        <f t="shared" si="1"/>
        <v>2893.1279151943463</v>
      </c>
      <c r="C11">
        <f t="shared" si="2"/>
        <v>2693.1279151943463</v>
      </c>
      <c r="D11">
        <v>0.4</v>
      </c>
      <c r="E11">
        <f t="shared" si="3"/>
        <v>4.585159010600707</v>
      </c>
      <c r="F11">
        <f t="shared" si="4"/>
        <v>1946.3999999999999</v>
      </c>
      <c r="G11">
        <f t="shared" si="5"/>
        <v>1651.5951943462899</v>
      </c>
      <c r="J11">
        <f t="shared" si="6"/>
        <v>100</v>
      </c>
      <c r="K11">
        <f t="shared" si="7"/>
        <v>250</v>
      </c>
      <c r="M11">
        <v>0.4</v>
      </c>
      <c r="N11">
        <f t="shared" si="8"/>
        <v>100</v>
      </c>
      <c r="O11">
        <f t="shared" si="9"/>
        <v>300</v>
      </c>
      <c r="S11">
        <f t="shared" si="10"/>
        <v>0.32806289352421825</v>
      </c>
      <c r="T11">
        <f t="shared" si="11"/>
        <v>-0.66666666666666674</v>
      </c>
    </row>
    <row r="12" spans="1:20">
      <c r="A12">
        <f t="shared" si="0"/>
        <v>5.7314487632508833</v>
      </c>
      <c r="B12">
        <f t="shared" si="1"/>
        <v>3130.4098939929327</v>
      </c>
      <c r="C12">
        <f t="shared" si="2"/>
        <v>2930.4098939929327</v>
      </c>
      <c r="D12">
        <v>0.5</v>
      </c>
      <c r="E12">
        <f t="shared" si="3"/>
        <v>5.7314487632508833</v>
      </c>
      <c r="F12">
        <f t="shared" si="4"/>
        <v>1622</v>
      </c>
      <c r="G12">
        <f t="shared" si="5"/>
        <v>1407.8939929328624</v>
      </c>
      <c r="J12">
        <f t="shared" si="6"/>
        <v>125</v>
      </c>
      <c r="K12">
        <f t="shared" si="7"/>
        <v>325</v>
      </c>
      <c r="M12">
        <v>0.5</v>
      </c>
      <c r="N12">
        <f t="shared" si="8"/>
        <v>125</v>
      </c>
      <c r="O12">
        <f t="shared" si="9"/>
        <v>250</v>
      </c>
      <c r="S12">
        <f t="shared" si="10"/>
        <v>0.37899506268159378</v>
      </c>
      <c r="T12">
        <f t="shared" si="11"/>
        <v>-1</v>
      </c>
    </row>
    <row r="13" spans="1:20">
      <c r="A13">
        <f t="shared" si="0"/>
        <v>6.8777385159010596</v>
      </c>
      <c r="B13">
        <f t="shared" si="1"/>
        <v>3367.691872791519</v>
      </c>
      <c r="C13">
        <f t="shared" si="2"/>
        <v>3167.691872791519</v>
      </c>
      <c r="D13">
        <v>0.6</v>
      </c>
      <c r="E13">
        <f t="shared" si="3"/>
        <v>6.8777385159010596</v>
      </c>
      <c r="F13">
        <f t="shared" si="4"/>
        <v>1297.6000000000001</v>
      </c>
      <c r="G13">
        <f t="shared" si="5"/>
        <v>1164.1927915194349</v>
      </c>
      <c r="J13">
        <f t="shared" si="6"/>
        <v>150</v>
      </c>
      <c r="K13">
        <f t="shared" si="7"/>
        <v>400</v>
      </c>
      <c r="M13">
        <v>0.6</v>
      </c>
      <c r="N13">
        <f t="shared" si="8"/>
        <v>150</v>
      </c>
      <c r="O13">
        <f t="shared" si="9"/>
        <v>200</v>
      </c>
      <c r="S13">
        <f t="shared" si="10"/>
        <v>0.42275003966185443</v>
      </c>
      <c r="T13">
        <f t="shared" si="11"/>
        <v>-1.4999999999999996</v>
      </c>
    </row>
    <row r="14" spans="1:20">
      <c r="A14">
        <f t="shared" si="0"/>
        <v>8.0240282685512359</v>
      </c>
      <c r="B14">
        <f t="shared" si="1"/>
        <v>3604.9738515901058</v>
      </c>
      <c r="C14">
        <f t="shared" si="2"/>
        <v>3404.9738515901058</v>
      </c>
      <c r="D14">
        <v>0.7</v>
      </c>
      <c r="E14">
        <f t="shared" si="3"/>
        <v>8.0240282685512359</v>
      </c>
      <c r="F14">
        <f t="shared" si="4"/>
        <v>973.20000000000027</v>
      </c>
      <c r="G14">
        <f t="shared" si="5"/>
        <v>920.49159010600738</v>
      </c>
      <c r="J14">
        <f t="shared" si="6"/>
        <v>175</v>
      </c>
      <c r="K14">
        <f t="shared" si="7"/>
        <v>475</v>
      </c>
      <c r="M14">
        <v>0.7</v>
      </c>
      <c r="N14">
        <f t="shared" si="8"/>
        <v>175</v>
      </c>
      <c r="O14">
        <f t="shared" si="9"/>
        <v>150</v>
      </c>
      <c r="S14">
        <f t="shared" si="10"/>
        <v>0.46074504836074537</v>
      </c>
      <c r="T14">
        <f t="shared" si="11"/>
        <v>-2.3333333333333321</v>
      </c>
    </row>
    <row r="15" spans="1:20">
      <c r="A15">
        <f t="shared" si="0"/>
        <v>9.1703180212014139</v>
      </c>
      <c r="B15">
        <f t="shared" si="1"/>
        <v>3842.2558303886926</v>
      </c>
      <c r="C15">
        <f t="shared" si="2"/>
        <v>3642.2558303886926</v>
      </c>
      <c r="D15">
        <v>0.8</v>
      </c>
      <c r="E15">
        <f t="shared" si="3"/>
        <v>9.1703180212014139</v>
      </c>
      <c r="F15">
        <f t="shared" si="4"/>
        <v>648.79999999999973</v>
      </c>
      <c r="G15">
        <f t="shared" si="5"/>
        <v>676.79038869257965</v>
      </c>
      <c r="J15">
        <f t="shared" si="6"/>
        <v>200</v>
      </c>
      <c r="K15">
        <f t="shared" si="7"/>
        <v>550</v>
      </c>
      <c r="M15">
        <v>0.8</v>
      </c>
      <c r="N15">
        <f t="shared" si="8"/>
        <v>200</v>
      </c>
      <c r="O15">
        <f t="shared" si="9"/>
        <v>100</v>
      </c>
      <c r="S15">
        <f t="shared" si="10"/>
        <v>0.49404722490762942</v>
      </c>
      <c r="T15">
        <f t="shared" si="11"/>
        <v>-4.0000000000000018</v>
      </c>
    </row>
    <row r="16" spans="1:20">
      <c r="A16">
        <f t="shared" si="0"/>
        <v>10.31660777385159</v>
      </c>
      <c r="B16">
        <f t="shared" si="1"/>
        <v>4079.537809187279</v>
      </c>
      <c r="C16">
        <f t="shared" si="2"/>
        <v>3879.537809187279</v>
      </c>
      <c r="D16">
        <v>0.9</v>
      </c>
      <c r="E16">
        <f t="shared" si="3"/>
        <v>10.31660777385159</v>
      </c>
      <c r="F16">
        <f t="shared" si="4"/>
        <v>324.40000000000009</v>
      </c>
      <c r="G16">
        <f t="shared" si="5"/>
        <v>433.08918727915216</v>
      </c>
      <c r="J16">
        <f t="shared" si="6"/>
        <v>225</v>
      </c>
      <c r="K16">
        <f t="shared" si="7"/>
        <v>625</v>
      </c>
      <c r="M16">
        <v>0.9</v>
      </c>
      <c r="N16">
        <f t="shared" si="8"/>
        <v>225</v>
      </c>
      <c r="O16">
        <f t="shared" si="9"/>
        <v>50</v>
      </c>
      <c r="S16">
        <f t="shared" si="10"/>
        <v>0.52347543007885944</v>
      </c>
      <c r="T16">
        <f t="shared" si="11"/>
        <v>-8.9999999999999964</v>
      </c>
    </row>
    <row r="17" spans="1:20">
      <c r="A17">
        <f t="shared" si="0"/>
        <v>11.462897526501767</v>
      </c>
      <c r="B17">
        <f t="shared" si="1"/>
        <v>4316.8197879858653</v>
      </c>
      <c r="C17">
        <f t="shared" si="2"/>
        <v>4116.8197879858653</v>
      </c>
      <c r="D17">
        <v>1</v>
      </c>
      <c r="E17">
        <f t="shared" si="3"/>
        <v>11.462897526501767</v>
      </c>
      <c r="F17">
        <f t="shared" si="4"/>
        <v>0</v>
      </c>
      <c r="G17">
        <f t="shared" si="5"/>
        <v>189.38798586572466</v>
      </c>
      <c r="J17">
        <f t="shared" si="6"/>
        <v>250</v>
      </c>
      <c r="K17">
        <f t="shared" si="7"/>
        <v>700</v>
      </c>
      <c r="M17">
        <v>1</v>
      </c>
      <c r="N17">
        <f t="shared" si="8"/>
        <v>250</v>
      </c>
      <c r="O17">
        <f t="shared" si="9"/>
        <v>0</v>
      </c>
      <c r="S17">
        <f t="shared" si="10"/>
        <v>0.54966848386621492</v>
      </c>
      <c r="T17" t="e">
        <f t="shared" si="11"/>
        <v>#DIV/0!</v>
      </c>
    </row>
  </sheetData>
  <mergeCells count="7">
    <mergeCell ref="A1:H1"/>
    <mergeCell ref="J1:Q1"/>
    <mergeCell ref="S2:T2"/>
    <mergeCell ref="A2:C2"/>
    <mergeCell ref="E2:H2"/>
    <mergeCell ref="J2:L2"/>
    <mergeCell ref="N2:Q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 Thanh Huynh</dc:creator>
  <cp:lastModifiedBy>Phuc Thanh Huynh</cp:lastModifiedBy>
  <dcterms:created xsi:type="dcterms:W3CDTF">2025-08-19T05:53:35Z</dcterms:created>
  <dcterms:modified xsi:type="dcterms:W3CDTF">2025-08-28T09:50:02Z</dcterms:modified>
</cp:coreProperties>
</file>